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4f912b3e304f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ssment" sheetId="1" r:id="R1fed38f07e714f9b"/>
  </x:sheets>
  <x:definedNames>
    <x:definedName name="_xlnm.Print_Area" localSheetId="0">'Assessment'!A1:J14</x:definedName>
    <x:definedName name="_xlnm.Print_Titles" localSheetId="0">'Assessment'!$1:$6,'Assessment'!$A:$A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000000"/>
      <x:name val="Times New Roman"/>
    </x:font>
    <x:font>
      <x:b/>
      <x:sz val="16"/>
      <x:color rgb="FF000000"/>
      <x:name val="Times New Roman"/>
    </x:font>
    <x:font>
      <x:b/>
      <x:sz val="11"/>
      <x:color rgb="FF000000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EEEE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8a341217814174" /><Relationship Type="http://schemas.openxmlformats.org/officeDocument/2006/relationships/theme" Target="/xl/theme/theme1.xml" Id="Rdadf2c3563614629" /><Relationship Type="http://schemas.openxmlformats.org/officeDocument/2006/relationships/sharedStrings" Target="/xl/sharedStrings.xml" Id="R73483886c52f4754" /><Relationship Type="http://schemas.openxmlformats.org/officeDocument/2006/relationships/worksheet" Target="/xl/worksheets/sheet1.xml" Id="R1fed38f07e714f9b" /></Relationships>
</file>

<file path=xl/tables/table1.xml><?xml version="1.0" encoding="utf-8"?>
<x:table xmlns:x="http://schemas.openxmlformats.org/spreadsheetml/2006/main" id="1" name="TAssessment" displayName="TAssessment" ref="A6:J12" headerRowCount="1" totalsRowCount="0" totalsRowShown="0">
  <x:autoFilter ref="A6:J12"/>
  <x:tableColumns count="10">
    <x:tableColumn id="1" name="ID"/>
    <x:tableColumn id="2" name="Capacidad"/>
    <x:tableColumn id="3" name="Baseline escenario"/>
    <x:tableColumn id="4" name="Procedencia / real"/>
    <x:tableColumn id="5" name="Target DE"/>
    <x:tableColumn id="6" name="Delta escenario"/>
    <x:tableColumn id="7" name="Owner propuesto"/>
    <x:tableColumn id="8" name="Prioridad"/>
    <x:tableColumn id="9" name="Validación pendiente"/>
    <x:tableColumn id="10" name="Justificación / requisito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e035b0596f4743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4" hidden="0" customWidth="1"/>
    <x:col min="2" max="2" width="25" hidden="0" customWidth="1"/>
    <x:col min="3" max="3" width="15" hidden="0" customWidth="1"/>
    <x:col min="4" max="4" width="22" hidden="0" customWidth="1"/>
    <x:col min="5" max="5" width="14" hidden="0" customWidth="1"/>
    <x:col min="6" max="6" width="16" hidden="0" customWidth="1"/>
    <x:col min="7" max="7" width="17" hidden="0" customWidth="1"/>
    <x:col min="8" max="8" width="14" hidden="0" customWidth="1"/>
    <x:col min="9" max="9" width="24" hidden="0" customWidth="1"/>
    <x:col min="10" max="10" width="52" hidden="0" customWidth="1"/>
  </x:cols>
  <x:sheetData>
    <x:row r="1" ht="32" customHeight="1">
      <x:c r="A1" s="4" t="str">
        <x:v>B-02 · Capacidades y prioridad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0" customHeight="1">
      <x:c r="A2" s="3" t="str">
        <x:v>v0.2 · 2026-10-15 · ROL-EA propuesto · Borrador académico condicionado; DE del asistente; revisión y pruebas pendientes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48" customHeight="1">
      <x:c r="A3" s="3" t="str">
        <x:v>Escala vigente: 1 Inicial, 2 Parcial, 3 Gestionada. Scores C4/C3 focales, H1 transversal; no promediar planta. NE impide delta. Fuente: A-01, PC1 corregida §8.1.1 y Capability_Catalog.csv (identidad).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ht="30" customHeight="1">
      <x:c r="A4" s="3" t="str">
        <x:v>HP hecho público · IA escenario asistido · SV supuesto · DE propuesta · NV faltante · NE no evaluado ≠0. Pruebas previstas, no ejecutadas.</x:v>
      </x:c>
      <x:c r="B4" s="3"/>
      <x:c r="C4" s="3"/>
      <x:c r="D4" s="3"/>
      <x:c r="E4" s="3"/>
      <x:c r="F4" s="3"/>
      <x:c r="G4" s="3"/>
      <x:c r="H4" s="3"/>
      <x:c r="I4" s="3"/>
      <x:c r="J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</x:row>
    <x:row r="6" ht="38" customHeight="1">
      <x:c r="A6" s="7" t="str">
        <x:v>ID</x:v>
      </x:c>
      <x:c r="B6" s="7" t="str">
        <x:v>Capacidad</x:v>
      </x:c>
      <x:c r="C6" s="7" t="str">
        <x:v>Baseline escenario</x:v>
      </x:c>
      <x:c r="D6" s="7" t="str">
        <x:v>Procedencia / real</x:v>
      </x:c>
      <x:c r="E6" s="7" t="str">
        <x:v>Target DE</x:v>
      </x:c>
      <x:c r="F6" s="7" t="str">
        <x:v>Delta escenario</x:v>
      </x:c>
      <x:c r="G6" s="7" t="str">
        <x:v>Owner propuesto</x:v>
      </x:c>
      <x:c r="H6" s="7" t="str">
        <x:v>Prioridad</x:v>
      </x:c>
      <x:c r="I6" s="7" t="str">
        <x:v>Validación pendiente</x:v>
      </x:c>
      <x:c r="J6" s="7" t="str">
        <x:v>Justificación / requisitos</x:v>
      </x:c>
    </x:row>
    <x:row r="7" ht="100" customHeight="1">
      <x:c r="A7" s="9" t="str">
        <x:v>C4</x:v>
      </x:c>
      <x:c r="B7" s="9" t="str">
        <x:v>Traceability</x:v>
      </x:c>
      <x:c r="C7" s="9" t="n">
        <x:v>1</x:v>
      </x:c>
      <x:c r="D7" s="9" t="str">
        <x:v>IA focal; real NE</x:v>
      </x:c>
      <x:c r="E7" s="9" t="n">
        <x:v>3</x:v>
      </x:c>
      <x:c r="F7" s="9" t="n">
        <x:f>IF(AND(ISNUMBER(C7),ISNUMBER(E7)),E7-C7,"NE")</x:f>
        <x:v>2</x:v>
      </x:c>
      <x:c r="G7" s="9" t="str">
        <x:v>STK-02</x:v>
      </x:c>
      <x:c r="H7" s="9" t="str">
        <x:v>Alta</x:v>
      </x:c>
      <x:c r="I7" s="9" t="str">
        <x:v>NV-03;NV-07;NV-08</x:v>
      </x:c>
      <x:c r="J7" s="9" t="str">
        <x:v>Historia e identidad verificables, dueños y excepciones; baseline real NE; REQ-01;REQ-02</x:v>
      </x:c>
    </x:row>
    <x:row r="8" ht="100" customHeight="1">
      <x:c r="A8" s="9" t="str">
        <x:v>H1</x:v>
      </x:c>
      <x:c r="B8" s="9" t="str">
        <x:v>Operational Data Integration</x:v>
      </x:c>
      <x:c r="C8" s="9" t="n">
        <x:v>1</x:v>
      </x:c>
      <x:c r="D8" s="9" t="str">
        <x:v>IA focal; real NE</x:v>
      </x:c>
      <x:c r="E8" s="9" t="n">
        <x:v>3</x:v>
      </x:c>
      <x:c r="F8" s="9" t="n">
        <x:f>IF(AND(ISNUMBER(C8),ISNUMBER(E8)),E8-C8,"NE")</x:f>
        <x:v>2</x:v>
      </x:c>
      <x:c r="G8" s="9" t="str">
        <x:v>STK-04</x:v>
      </x:c>
      <x:c r="H8" s="9" t="str">
        <x:v>Alta</x:v>
      </x:c>
      <x:c r="I8" s="9" t="str">
        <x:v>NV-01;NV-02;NV-04;NV-07</x:v>
      </x:c>
      <x:c r="J8" s="9" t="str">
        <x:v>Correlacionar eventos y consulta; comprobar continuidad y acceso; baseline real NE; REQ-02;REQ-03;REQ-05</x:v>
      </x:c>
    </x:row>
    <x:row r="9" ht="100" customHeight="1">
      <x:c r="A9" s="9" t="str">
        <x:v>C3</x:v>
      </x:c>
      <x:c r="B9" s="9" t="str">
        <x:v>Cold Chain Management</x:v>
      </x:c>
      <x:c r="C9" s="9" t="n">
        <x:v>2</x:v>
      </x:c>
      <x:c r="D9" s="9" t="str">
        <x:v>IA focal; real NE</x:v>
      </x:c>
      <x:c r="E9" s="9" t="n">
        <x:v>3</x:v>
      </x:c>
      <x:c r="F9" s="9" t="n">
        <x:f>IF(AND(ISNUMBER(C9),ISNUMBER(E9)),E9-C9,"NE")</x:f>
        <x:v>1</x:v>
      </x:c>
      <x:c r="G9" s="9" t="str">
        <x:v>STK-03</x:v>
      </x:c>
      <x:c r="H9" s="9" t="str">
        <x:v>Alta</x:v>
      </x:c>
      <x:c r="I9" s="9" t="str">
        <x:v>NV-05;NV-07;NV-08</x:v>
      </x:c>
      <x:c r="J9" s="9" t="str">
        <x:v>Evidencia térmica/custodia suficiente por ruta; baseline real NE; REQ-04;REQ-06</x:v>
      </x:c>
    </x:row>
    <x:row r="10" ht="100" customHeight="1">
      <x:c r="A10" s="9" t="str">
        <x:v>CAP-A01</x:v>
      </x:c>
      <x:c r="B10" s="9" t="str">
        <x:v>Coordinación de handoffs</x:v>
      </x:c>
      <x:c r="C10" s="9" t="str">
        <x:v>NE</x:v>
      </x:c>
      <x:c r="D10" s="9" t="str">
        <x:v>NV / NE</x:v>
      </x:c>
      <x:c r="E10" s="9" t="n">
        <x:v>3</x:v>
      </x:c>
      <x:c r="F10" s="9" t="str">
        <x:f>IF(AND(ISNUMBER(C10),ISNUMBER(E10)),E10-C10,"NE")</x:f>
        <x:v>NE</x:v>
      </x:c>
      <x:c r="G10" s="9" t="str">
        <x:v>STK-01</x:v>
      </x:c>
      <x:c r="H10" s="9" t="str">
        <x:v>Alta</x:v>
      </x:c>
      <x:c r="I10" s="9" t="str">
        <x:v>NV-08</x:v>
      </x:c>
      <x:c r="J10" s="9" t="str">
        <x:v>Transferencias con emisor/receptor, aceptación y excepción definidas; sin gap numérico; REQ-06</x:v>
      </x:c>
    </x:row>
    <x:row r="11" ht="100" customHeight="1">
      <x:c r="A11" s="9" t="str">
        <x:v>CAP-A02</x:v>
      </x:c>
      <x:c r="B11" s="9" t="str">
        <x:v>Medición del desempeño y mejora</x:v>
      </x:c>
      <x:c r="C11" s="9" t="str">
        <x:v>NE</x:v>
      </x:c>
      <x:c r="D11" s="9" t="str">
        <x:v>NV / NE</x:v>
      </x:c>
      <x:c r="E11" s="9" t="n">
        <x:v>3</x:v>
      </x:c>
      <x:c r="F11" s="9" t="str">
        <x:f>IF(AND(ISNUMBER(C11),ISNUMBER(E11)),E11-C11,"NE")</x:f>
        <x:v>NE</x:v>
      </x:c>
      <x:c r="G11" s="9" t="str">
        <x:v>ROL-MC</x:v>
      </x:c>
      <x:c r="H11" s="9" t="str">
        <x:v>Alta</x:v>
      </x:c>
      <x:c r="I11" s="9" t="str">
        <x:v>NV-03;NV-07</x:v>
      </x:c>
      <x:c r="J11" s="9" t="str">
        <x:v>Fórmula, población, fuente, owner y seguimiento; sin gap numérico; REQ-07</x:v>
      </x:c>
    </x:row>
    <x:row r="12" ht="100" customHeight="1">
      <x:c r="A12" s="9" t="str">
        <x:v>CAP-A03</x:v>
      </x:c>
      <x:c r="B12" s="9" t="str">
        <x:v>Gestión de excepciones de negocio</x:v>
      </x:c>
      <x:c r="C12" s="9" t="str">
        <x:v>NE</x:v>
      </x:c>
      <x:c r="D12" s="9" t="str">
        <x:v>NV / NE</x:v>
      </x:c>
      <x:c r="E12" s="9" t="n">
        <x:v>3</x:v>
      </x:c>
      <x:c r="F12" s="9" t="str">
        <x:f>IF(AND(ISNUMBER(C12),ISNUMBER(E12)),E12-C12,"NE")</x:f>
        <x:v>NE</x:v>
      </x:c>
      <x:c r="G12" s="9" t="str">
        <x:v>STK-01</x:v>
      </x:c>
      <x:c r="H12" s="9" t="str">
        <x:v>Alta</x:v>
      </x:c>
      <x:c r="I12" s="9" t="str">
        <x:v>NV-08</x:v>
      </x:c>
      <x:c r="J12" s="9" t="str">
        <x:v>Registrar discrepancia, autoridad, acción y cierre; no equivale a disponibilidad TI; REQ-06</x:v>
      </x:c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</x:row>
  </x:sheetData>
  <x:mergeCells>
    <x:mergeCell ref="A1:J1"/>
    <x:mergeCell ref="A2:J2"/>
    <x:mergeCell ref="A3:J3"/>
    <x:mergeCell ref="A4:J4"/>
  </x:mergeCells>
  <x:conditionalFormatting sqref="C7:C12">
    <x:cfRule type="cellIs" dxfId="0" priority="1" operator="equal">
      <x:formula>1</x:formula>
    </x:cfRule>
    <x:cfRule type="cellIs" dxfId="1" priority="2" operator="equal">
      <x:formula>2</x:formula>
    </x:cfRule>
    <x:cfRule type="cellIs" dxfId="2" priority="3" operator="equal">
      <x:formula>3</x:formula>
    </x:cfRule>
  </x:conditionalFormatting>
  <x:conditionalFormatting sqref="D7:D12">
    <x:cfRule type="containsText" dxfId="3" priority="4" operator="containsText" text="NV"/>
  </x:conditionalFormatting>
  <x:dataValidations count="2">
    <x:dataValidation type="list" sqref="E7:E12">
      <x:formula1>"1,2,3"</x:formula1>
    </x:dataValidation>
    <x:dataValidation type="list" sqref="H7:H12">
      <x:formula1>"Alta,Media,Baja"</x:formula1>
    </x:dataValidation>
  </x:dataValidations>
  <x:printOptions headings="0" gridLines="0" horizontalCentered="0"/>
  <x:pageMargins left="0.25" right="0.25" top="0.4" bottom="0.4" header="0.15" footer="0.15"/>
  <x:pageSetup paperSize="8" orientation="landscape" scale="100" fitToWidth="0" fitToHeight="0" useFirstPageNumber="0"/>
  <x:tableParts count="1">
    <x:tablePart xmlns:r="http://schemas.openxmlformats.org/officeDocument/2006/relationships" r:id="R16e035b0596f4743"/>
  </x:tableParts>
</x:worksheet>
</file>